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客户数据" sheetId="1" state="visible" r:id="rId3"/>
    <sheet name="采集概览" sheetId="2" state="visible" r:id="rId4"/>
  </sheets>
  <definedNames>
    <definedName function="false" hidden="true" localSheetId="0" name="_xlnm._FilterDatabase" vbProcedure="false">客户数据!$A$1:$N$21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<sst xmlns="http://schemas.openxmlformats.org/spreadsheetml/2006/main" count="264" uniqueCount="172">
  <si>
    <t xml:space="preserve">序号</t>
  </si>
  <si>
    <t xml:space="preserve">页码</t>
  </si>
  <si>
    <r>
      <rPr>
        <b val="true"/>
        <sz val="10"/>
        <color rgb="FFFFFFFF"/>
        <rFont val="Noto Sans CJK SC"/>
        <family val="2"/>
      </rPr>
      <t xml:space="preserve">客户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</si>
  <si>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客户名称</t>
  </si>
  <si>
    <t xml:space="preserve">公司名称</t>
  </si>
  <si>
    <t xml:space="preserve">公司法人</t>
  </si>
  <si>
    <t xml:space="preserve">负责人</t>
  </si>
  <si>
    <t xml:space="preserve">手机</t>
  </si>
  <si>
    <r>
      <rPr>
        <b val="true"/>
        <sz val="10"/>
        <color rgb="FFFFFFFF"/>
        <rFont val="Arial"/>
        <family val="0"/>
        <charset val="1"/>
      </rPr>
      <t xml:space="preserve">Hot</t>
    </r>
    <r>
      <rPr>
        <b val="true"/>
        <sz val="10"/>
        <color rgb="FFFFFFFF"/>
        <rFont val="Noto Sans CJK SC"/>
        <family val="2"/>
      </rPr>
      <t xml:space="preserve">取号</t>
    </r>
  </si>
  <si>
    <t xml:space="preserve">电话</t>
  </si>
  <si>
    <t xml:space="preserve">企业地址</t>
  </si>
  <si>
    <t xml:space="preserve">地区</t>
  </si>
  <si>
    <r>
      <rPr>
        <b val="true"/>
        <sz val="10"/>
        <color rgb="FFFFFFFF"/>
        <rFont val="Arial"/>
        <family val="0"/>
        <charset val="1"/>
      </rPr>
      <t xml:space="preserve">Hot</t>
    </r>
    <r>
      <rPr>
        <b val="true"/>
        <sz val="10"/>
        <color rgb="FFFFFFFF"/>
        <rFont val="Noto Sans CJK SC"/>
        <family val="2"/>
      </rPr>
      <t xml:space="preserve">联系方式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打码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</si>
  <si>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备注</t>
  </si>
  <si>
    <t xml:space="preserve">6a143b11c6939fe2aaedf7aa</t>
  </si>
  <si>
    <t xml:space="preserve">石阡县程杰装饰劳务有限公司</t>
  </si>
  <si>
    <t xml:space="preserve">任光程</t>
  </si>
  <si>
    <t xml:space="preserve">陈总</t>
  </si>
  <si>
    <t xml:space="preserve">19908568258</t>
  </si>
  <si>
    <t xml:space="preserve">--</t>
  </si>
  <si>
    <r>
      <rPr>
        <sz val="10"/>
        <rFont val="Noto Sans CJK SC"/>
        <family val="2"/>
      </rPr>
      <t xml:space="preserve">贵州省铜仁市石阡县中坝街道垛角村十组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号</t>
    </r>
  </si>
  <si>
    <t xml:space="preserve">中国 贵州 铜仁市 石阡县</t>
  </si>
  <si>
    <r>
      <rPr>
        <sz val="10"/>
        <rFont val="Noto Sans CJK SC"/>
        <family val="2"/>
      </rPr>
      <t xml:space="preserve">任</t>
    </r>
    <r>
      <rPr>
        <sz val="10"/>
        <rFont val="Arial"/>
        <family val="0"/>
        <charset val="1"/>
      </rPr>
      <t xml:space="preserve">**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@@@@@@</t>
    </r>
  </si>
  <si>
    <r>
      <rPr>
        <sz val="10"/>
        <rFont val="Arial"/>
        <family val="0"/>
        <charset val="1"/>
      </rPr>
      <t xml:space="preserve">Hot</t>
    </r>
    <r>
      <rPr>
        <sz val="10"/>
        <rFont val="Noto Sans CJK SC"/>
        <family val="2"/>
      </rPr>
      <t xml:space="preserve">已解锁；无固定电话</t>
    </r>
  </si>
  <si>
    <t xml:space="preserve">6a143aacd5e3773e1122990b</t>
  </si>
  <si>
    <t xml:space="preserve">凤冈县维华建筑劳务服务有限公司</t>
  </si>
  <si>
    <t xml:space="preserve">钱芳</t>
  </si>
  <si>
    <t xml:space="preserve">18285215895</t>
  </si>
  <si>
    <r>
      <rPr>
        <sz val="10"/>
        <rFont val="Noto Sans CJK SC"/>
        <family val="2"/>
      </rPr>
      <t xml:space="preserve">凤冈县绥阳镇政通路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号</t>
    </r>
  </si>
  <si>
    <t xml:space="preserve">中国 贵州 遵义市 凤冈县</t>
  </si>
  <si>
    <r>
      <rPr>
        <sz val="10"/>
        <rFont val="Noto Sans CJK SC"/>
        <family val="2"/>
      </rPr>
      <t xml:space="preserve">钱</t>
    </r>
    <r>
      <rPr>
        <sz val="10"/>
        <rFont val="Arial"/>
        <family val="0"/>
        <charset val="1"/>
      </rPr>
      <t xml:space="preserve">*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@@@@@@</t>
    </r>
  </si>
  <si>
    <t xml:space="preserve">6a143a4febd4cd87ed32733f</t>
  </si>
  <si>
    <t xml:space="preserve">贵州黔迈建筑劳务有限公司</t>
  </si>
  <si>
    <t xml:space="preserve">鲁庭超</t>
  </si>
  <si>
    <t xml:space="preserve">15854113888</t>
  </si>
  <si>
    <r>
      <rPr>
        <sz val="10"/>
        <rFont val="Noto Sans CJK SC"/>
        <family val="2"/>
      </rPr>
      <t xml:space="preserve">贵州省黔东南苗族侗族自治州凯里市温州大道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号国际商贸城一期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栋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层</t>
    </r>
    <r>
      <rPr>
        <sz val="10"/>
        <rFont val="Arial"/>
        <family val="0"/>
        <charset val="1"/>
      </rPr>
      <t xml:space="preserve">7216</t>
    </r>
    <r>
      <rPr>
        <sz val="10"/>
        <rFont val="Noto Sans CJK SC"/>
        <family val="2"/>
      </rPr>
      <t xml:space="preserve">号门面</t>
    </r>
  </si>
  <si>
    <t xml:space="preserve">中国 贵州 黔东南苗族侗族自治州 凯里市</t>
  </si>
  <si>
    <r>
      <rPr>
        <sz val="10"/>
        <rFont val="Noto Sans CJK SC"/>
        <family val="2"/>
      </rPr>
      <t xml:space="preserve">鲁</t>
    </r>
    <r>
      <rPr>
        <sz val="10"/>
        <rFont val="Arial"/>
        <family val="0"/>
        <charset val="1"/>
      </rPr>
      <t xml:space="preserve">**</t>
    </r>
    <r>
      <rPr>
        <sz val="10"/>
        <rFont val="Noto Sans CJK SC"/>
        <family val="2"/>
      </rPr>
      <t xml:space="preserve">：</t>
    </r>
  </si>
  <si>
    <r>
      <rPr>
        <sz val="10"/>
        <rFont val="Arial"/>
        <family val="0"/>
        <charset val="1"/>
      </rPr>
      <t xml:space="preserve">Hot</t>
    </r>
    <r>
      <rPr>
        <sz val="10"/>
        <rFont val="Noto Sans CJK SC"/>
        <family val="2"/>
      </rPr>
      <t xml:space="preserve">仅显示姓名，无解锁按钮；无固定电话</t>
    </r>
  </si>
  <si>
    <t xml:space="preserve">6a1439b6a59c05cfd03f8765</t>
  </si>
  <si>
    <t xml:space="preserve">贵州人合兴建筑工程有限公司</t>
  </si>
  <si>
    <t xml:space="preserve">蔡聪群</t>
  </si>
  <si>
    <t xml:space="preserve">13402807771</t>
  </si>
  <si>
    <r>
      <rPr>
        <sz val="10"/>
        <rFont val="Noto Sans CJK SC"/>
        <family val="2"/>
      </rPr>
      <t xml:space="preserve">贵州省遵义市仁怀市盐津街道盐景湖公园二期四组团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栋</t>
    </r>
    <r>
      <rPr>
        <sz val="10"/>
        <rFont val="Arial"/>
        <family val="0"/>
        <charset val="1"/>
      </rPr>
      <t xml:space="preserve">30-2</t>
    </r>
  </si>
  <si>
    <t xml:space="preserve">中国 贵州 遵义市 仁怀市</t>
  </si>
  <si>
    <r>
      <rPr>
        <sz val="10"/>
        <rFont val="Noto Sans CJK SC"/>
        <family val="2"/>
      </rPr>
      <t xml:space="preserve">无</t>
    </r>
    <r>
      <rPr>
        <sz val="10"/>
        <rFont val="Arial"/>
        <family val="0"/>
        <charset val="1"/>
      </rPr>
      <t xml:space="preserve">Hot</t>
    </r>
    <r>
      <rPr>
        <sz val="10"/>
        <rFont val="Noto Sans CJK SC"/>
        <family val="2"/>
      </rPr>
      <t xml:space="preserve">联系方式；无固定电话</t>
    </r>
  </si>
  <si>
    <t xml:space="preserve">6a143921c0721991fc5093b5</t>
  </si>
  <si>
    <t xml:space="preserve">贵州拓友建设工程有限公司</t>
  </si>
  <si>
    <t xml:space="preserve">钟鑫</t>
  </si>
  <si>
    <t xml:space="preserve">17782356188</t>
  </si>
  <si>
    <r>
      <rPr>
        <sz val="10"/>
        <rFont val="Noto Sans CJK SC"/>
        <family val="2"/>
      </rPr>
      <t xml:space="preserve">贵州省遵义市习水县九龙街道府西路红城天街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幢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单元</t>
    </r>
    <r>
      <rPr>
        <sz val="10"/>
        <rFont val="Arial"/>
        <family val="0"/>
        <charset val="1"/>
      </rPr>
      <t xml:space="preserve">1-6</t>
    </r>
    <r>
      <rPr>
        <sz val="10"/>
        <rFont val="Noto Sans CJK SC"/>
        <family val="2"/>
      </rPr>
      <t xml:space="preserve">号</t>
    </r>
  </si>
  <si>
    <t xml:space="preserve">中国 贵州 遵义市 习水县</t>
  </si>
  <si>
    <r>
      <rPr>
        <sz val="10"/>
        <rFont val="Noto Sans CJK SC"/>
        <family val="2"/>
      </rPr>
      <t xml:space="preserve">钟</t>
    </r>
    <r>
      <rPr>
        <sz val="10"/>
        <rFont val="Arial"/>
        <family val="0"/>
        <charset val="1"/>
      </rPr>
      <t xml:space="preserve">*</t>
    </r>
    <r>
      <rPr>
        <sz val="10"/>
        <rFont val="Noto Sans CJK SC"/>
        <family val="2"/>
      </rPr>
      <t xml:space="preserve">：</t>
    </r>
  </si>
  <si>
    <t xml:space="preserve">6a1438fc91cd6f48ad74a2d6</t>
  </si>
  <si>
    <t xml:space="preserve">贵州临积建设工程有限公司</t>
  </si>
  <si>
    <t xml:space="preserve">周占海</t>
  </si>
  <si>
    <t xml:space="preserve">17308537677</t>
  </si>
  <si>
    <r>
      <rPr>
        <sz val="10"/>
        <rFont val="Noto Sans CJK SC"/>
        <family val="2"/>
      </rPr>
      <t xml:space="preserve">贵州省铜仁市万山区仁山街道金鳞大道</t>
    </r>
    <r>
      <rPr>
        <sz val="10"/>
        <rFont val="Arial"/>
        <family val="0"/>
        <charset val="1"/>
      </rPr>
      <t xml:space="preserve">190</t>
    </r>
    <r>
      <rPr>
        <sz val="10"/>
        <rFont val="Noto Sans CJK SC"/>
        <family val="2"/>
      </rPr>
      <t xml:space="preserve">号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木杉河广场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栋</t>
    </r>
    <r>
      <rPr>
        <sz val="10"/>
        <rFont val="Arial"/>
        <family val="0"/>
        <charset val="1"/>
      </rPr>
      <t xml:space="preserve">)6-12</t>
    </r>
    <r>
      <rPr>
        <sz val="10"/>
        <rFont val="Noto Sans CJK SC"/>
        <family val="2"/>
      </rPr>
      <t xml:space="preserve">号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仅办公</t>
    </r>
    <r>
      <rPr>
        <sz val="10"/>
        <rFont val="Arial"/>
        <family val="0"/>
        <charset val="1"/>
      </rPr>
      <t xml:space="preserve">)</t>
    </r>
  </si>
  <si>
    <t xml:space="preserve">中国 贵州 铜仁市 万山区</t>
  </si>
  <si>
    <t xml:space="preserve">6a1438fc91cd6f48ad74a2d5</t>
  </si>
  <si>
    <t xml:space="preserve">贵州嘉玺义建筑工程有限公司</t>
  </si>
  <si>
    <t xml:space="preserve">李士红</t>
  </si>
  <si>
    <t xml:space="preserve">18655615213</t>
  </si>
  <si>
    <r>
      <rPr>
        <sz val="10"/>
        <rFont val="Noto Sans CJK SC"/>
        <family val="2"/>
      </rPr>
      <t xml:space="preserve">贵州省毕节市大方县顺德街道金鱼社区一组云贵中学下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米 张杰自建房</t>
    </r>
  </si>
  <si>
    <t xml:space="preserve">中国 贵州 毕节市 大方县</t>
  </si>
  <si>
    <t xml:space="preserve">6a1438fc91cd6f48ad74a2d4</t>
  </si>
  <si>
    <t xml:space="preserve">贵州扬恒工程技术有限公司</t>
  </si>
  <si>
    <t xml:space="preserve">谭婉仪</t>
  </si>
  <si>
    <t xml:space="preserve">18785734764</t>
  </si>
  <si>
    <r>
      <rPr>
        <sz val="10"/>
        <rFont val="Noto Sans CJK SC"/>
        <family val="2"/>
      </rPr>
      <t xml:space="preserve">贵州省贵安新区党武镇大学城贵安数字经济产业园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号楼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层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号</t>
    </r>
  </si>
  <si>
    <t xml:space="preserve">中国 贵州</t>
  </si>
  <si>
    <t xml:space="preserve">6a1438fc91cd6f48ad74a2d3</t>
  </si>
  <si>
    <t xml:space="preserve">贵州中赫绿城建设有限公司</t>
  </si>
  <si>
    <t xml:space="preserve">王滔滔</t>
  </si>
  <si>
    <t xml:space="preserve">15892923958</t>
  </si>
  <si>
    <r>
      <rPr>
        <sz val="10"/>
        <rFont val="Noto Sans CJK SC"/>
        <family val="2"/>
      </rPr>
      <t xml:space="preserve">贵州省遵义市红花岗区忠庄街道道海尔大道东方花园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组团</t>
    </r>
    <r>
      <rPr>
        <sz val="10"/>
        <rFont val="Arial"/>
        <family val="0"/>
        <charset val="1"/>
      </rPr>
      <t xml:space="preserve">C3</t>
    </r>
    <r>
      <rPr>
        <sz val="10"/>
        <rFont val="Noto Sans CJK SC"/>
        <family val="2"/>
      </rPr>
      <t xml:space="preserve">栋</t>
    </r>
    <r>
      <rPr>
        <sz val="10"/>
        <rFont val="Arial"/>
        <family val="0"/>
        <charset val="1"/>
      </rPr>
      <t xml:space="preserve">18-1</t>
    </r>
    <r>
      <rPr>
        <sz val="10"/>
        <rFont val="Noto Sans CJK SC"/>
        <family val="2"/>
      </rPr>
      <t xml:space="preserve">号</t>
    </r>
  </si>
  <si>
    <t xml:space="preserve">中国 贵州 遵义市 红花岗区</t>
  </si>
  <si>
    <r>
      <rPr>
        <sz val="10"/>
        <rFont val="Noto Sans CJK SC"/>
        <family val="2"/>
      </rPr>
      <t xml:space="preserve">王</t>
    </r>
    <r>
      <rPr>
        <sz val="10"/>
        <rFont val="Arial"/>
        <family val="0"/>
        <charset val="1"/>
      </rPr>
      <t xml:space="preserve">**</t>
    </r>
    <r>
      <rPr>
        <sz val="10"/>
        <rFont val="Noto Sans CJK SC"/>
        <family val="2"/>
      </rPr>
      <t xml:space="preserve">：</t>
    </r>
  </si>
  <si>
    <t xml:space="preserve">6a1438fc91cd6f48ad74a2d2</t>
  </si>
  <si>
    <t xml:space="preserve">贵州云筑麦谷城市更新建设有限公司</t>
  </si>
  <si>
    <t xml:space="preserve">万胜友</t>
  </si>
  <si>
    <t xml:space="preserve">18628310021</t>
  </si>
  <si>
    <t xml:space="preserve">18221115886</t>
  </si>
  <si>
    <r>
      <rPr>
        <sz val="10"/>
        <rFont val="Noto Sans CJK SC"/>
        <family val="2"/>
      </rPr>
      <t xml:space="preserve">贵州省六盘水市钟山区凤凰街道花园路</t>
    </r>
    <r>
      <rPr>
        <sz val="10"/>
        <rFont val="Arial"/>
        <family val="0"/>
        <charset val="1"/>
      </rPr>
      <t xml:space="preserve">82</t>
    </r>
    <r>
      <rPr>
        <sz val="10"/>
        <rFont val="Noto Sans CJK SC"/>
        <family val="2"/>
      </rPr>
      <t xml:space="preserve">号</t>
    </r>
  </si>
  <si>
    <t xml:space="preserve">中国 贵州 六盘水市 钟山区</t>
  </si>
  <si>
    <r>
      <rPr>
        <sz val="10"/>
        <rFont val="Noto Sans CJK SC"/>
        <family val="2"/>
      </rPr>
      <t xml:space="preserve">万</t>
    </r>
    <r>
      <rPr>
        <sz val="10"/>
        <rFont val="Arial"/>
        <family val="0"/>
        <charset val="1"/>
      </rPr>
      <t xml:space="preserve">**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@@@@@@</t>
    </r>
  </si>
  <si>
    <t xml:space="preserve">6a1438fc91cd6f48ad74a2d1</t>
  </si>
  <si>
    <t xml:space="preserve">贵州省霖曼空间科技工程有限公司</t>
  </si>
  <si>
    <t xml:space="preserve">冯元卫</t>
  </si>
  <si>
    <t xml:space="preserve">13385553356</t>
  </si>
  <si>
    <t xml:space="preserve">贵州省黔东南州榕江县古州镇汇龙广场商业楼二栋五层</t>
  </si>
  <si>
    <t xml:space="preserve">中国 贵州 黔东南苗族侗族自治州 榕江县</t>
  </si>
  <si>
    <t xml:space="preserve">6a1438fc91cd6f48ad74a2d0</t>
  </si>
  <si>
    <t xml:space="preserve">贵州正创建设有限公司</t>
  </si>
  <si>
    <t xml:space="preserve">张红省</t>
  </si>
  <si>
    <t xml:space="preserve">13984281143</t>
  </si>
  <si>
    <r>
      <rPr>
        <sz val="10"/>
        <rFont val="Noto Sans CJK SC"/>
        <family val="2"/>
      </rPr>
      <t xml:space="preserve">贵州省六盘水市盘州市亦资街道江源路开发区小区</t>
    </r>
    <r>
      <rPr>
        <sz val="10"/>
        <rFont val="Arial"/>
        <family val="0"/>
        <charset val="1"/>
      </rPr>
      <t xml:space="preserve">B1</t>
    </r>
    <r>
      <rPr>
        <sz val="10"/>
        <rFont val="Noto Sans CJK SC"/>
        <family val="2"/>
      </rPr>
      <t xml:space="preserve">栋</t>
    </r>
    <r>
      <rPr>
        <sz val="10"/>
        <rFont val="Arial"/>
        <family val="0"/>
        <charset val="1"/>
      </rPr>
      <t xml:space="preserve">102</t>
    </r>
    <r>
      <rPr>
        <sz val="10"/>
        <rFont val="Noto Sans CJK SC"/>
        <family val="2"/>
      </rPr>
      <t xml:space="preserve">室</t>
    </r>
  </si>
  <si>
    <t xml:space="preserve">中国 贵州 六盘水市 盘州市</t>
  </si>
  <si>
    <t xml:space="preserve">6a1438fc91cd6f48ad74a2cf</t>
  </si>
  <si>
    <t xml:space="preserve">贵州蓝芩建筑工程有限公司</t>
  </si>
  <si>
    <t xml:space="preserve">蓝跃兰</t>
  </si>
  <si>
    <t xml:space="preserve">18123253067</t>
  </si>
  <si>
    <r>
      <rPr>
        <sz val="10"/>
        <rFont val="Noto Sans CJK SC"/>
        <family val="2"/>
      </rPr>
      <t xml:space="preserve">贵州省毕节市七星关区麻园街道百里杜鹃路国贸中心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楼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号房</t>
    </r>
  </si>
  <si>
    <t xml:space="preserve">中国 贵州 毕节市 七星关区</t>
  </si>
  <si>
    <t xml:space="preserve">6a1438fc91cd6f48ad74a2ce</t>
  </si>
  <si>
    <t xml:space="preserve">贵州合顺新建设工程有限公司</t>
  </si>
  <si>
    <t xml:space="preserve">刘海波</t>
  </si>
  <si>
    <t xml:space="preserve">13618596346</t>
  </si>
  <si>
    <r>
      <rPr>
        <sz val="10"/>
        <rFont val="Noto Sans CJK SC"/>
        <family val="2"/>
      </rPr>
      <t xml:space="preserve">贵州省安顺市开发区西航街道二环路交叉口苏苑公寓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栋</t>
    </r>
    <r>
      <rPr>
        <sz val="10"/>
        <rFont val="Arial"/>
        <family val="0"/>
        <charset val="1"/>
      </rPr>
      <t xml:space="preserve">201</t>
    </r>
    <r>
      <rPr>
        <sz val="10"/>
        <rFont val="Noto Sans CJK SC"/>
        <family val="2"/>
      </rPr>
      <t xml:space="preserve">号门面</t>
    </r>
  </si>
  <si>
    <t xml:space="preserve">中国 贵州 安顺市 西秀区</t>
  </si>
  <si>
    <r>
      <rPr>
        <sz val="10"/>
        <rFont val="Noto Sans CJK SC"/>
        <family val="2"/>
      </rPr>
      <t xml:space="preserve">刘</t>
    </r>
    <r>
      <rPr>
        <sz val="10"/>
        <rFont val="Arial"/>
        <family val="0"/>
        <charset val="1"/>
      </rPr>
      <t xml:space="preserve">**</t>
    </r>
    <r>
      <rPr>
        <sz val="10"/>
        <rFont val="Noto Sans CJK SC"/>
        <family val="2"/>
      </rPr>
      <t xml:space="preserve">：</t>
    </r>
  </si>
  <si>
    <t xml:space="preserve">6a1438fc91cd6f48ad74a2cd</t>
  </si>
  <si>
    <t xml:space="preserve">万道国际工程设计研究有限公司</t>
  </si>
  <si>
    <t xml:space="preserve">严英梦</t>
  </si>
  <si>
    <t xml:space="preserve">18062577276</t>
  </si>
  <si>
    <t xml:space="preserve">0791-86669103</t>
  </si>
  <si>
    <r>
      <rPr>
        <sz val="10"/>
        <rFont val="Noto Sans CJK SC"/>
        <family val="2"/>
      </rPr>
      <t xml:space="preserve">贵州省黔东南苗族侗族自治州凯里市城西街道温州大道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号凯里国际商贸城三期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区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幢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层</t>
    </r>
    <r>
      <rPr>
        <sz val="10"/>
        <rFont val="Arial"/>
        <family val="0"/>
        <charset val="1"/>
      </rPr>
      <t xml:space="preserve">35448</t>
    </r>
    <r>
      <rPr>
        <sz val="10"/>
        <rFont val="Noto Sans CJK SC"/>
        <family val="2"/>
      </rPr>
      <t xml:space="preserve">号</t>
    </r>
  </si>
  <si>
    <r>
      <rPr>
        <sz val="10"/>
        <rFont val="Noto Sans CJK SC"/>
        <family val="2"/>
      </rPr>
      <t xml:space="preserve">孟</t>
    </r>
    <r>
      <rPr>
        <sz val="10"/>
        <rFont val="Arial"/>
        <family val="0"/>
        <charset val="1"/>
      </rPr>
      <t xml:space="preserve">**</t>
    </r>
    <r>
      <rPr>
        <sz val="10"/>
        <rFont val="Noto Sans CJK SC"/>
        <family val="2"/>
      </rPr>
      <t xml:space="preserve">：</t>
    </r>
  </si>
  <si>
    <r>
      <rPr>
        <sz val="10"/>
        <rFont val="Arial"/>
        <family val="0"/>
        <charset val="1"/>
      </rPr>
      <t xml:space="preserve">Hot</t>
    </r>
    <r>
      <rPr>
        <sz val="10"/>
        <rFont val="Noto Sans CJK SC"/>
        <family val="2"/>
      </rPr>
      <t xml:space="preserve">仅显示姓名，无解锁按钮</t>
    </r>
  </si>
  <si>
    <t xml:space="preserve">6a1438fc91cd6f48ad74a2cc</t>
  </si>
  <si>
    <t xml:space="preserve">贵州泛海建设有限公司</t>
  </si>
  <si>
    <t xml:space="preserve">林海尚</t>
  </si>
  <si>
    <t xml:space="preserve">15340674733</t>
  </si>
  <si>
    <r>
      <rPr>
        <sz val="10"/>
        <rFont val="Noto Sans CJK SC"/>
        <family val="2"/>
      </rPr>
      <t xml:space="preserve">贵州省黔东南州从江县丙妹镇江东南路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号附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号</t>
    </r>
  </si>
  <si>
    <t xml:space="preserve">中国 贵州 黔东南苗族侗族自治州 从江县</t>
  </si>
  <si>
    <t xml:space="preserve">6a1438fc91cd6f48ad74a2cb</t>
  </si>
  <si>
    <t xml:space="preserve">贵州苏商建工有限公司</t>
  </si>
  <si>
    <t xml:space="preserve">张陈松</t>
  </si>
  <si>
    <t xml:space="preserve">15076492919</t>
  </si>
  <si>
    <t xml:space="preserve">贵州省遵义市仁怀市鲁班街道生界社区后田组</t>
  </si>
  <si>
    <t xml:space="preserve">6a1438fc91cd6f48ad74a2ca</t>
  </si>
  <si>
    <r>
      <rPr>
        <sz val="10"/>
        <rFont val="Noto Sans CJK SC"/>
        <family val="2"/>
      </rPr>
      <t xml:space="preserve">梵中建设工程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贵州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有限公司</t>
    </r>
  </si>
  <si>
    <t xml:space="preserve">胡康</t>
  </si>
  <si>
    <t xml:space="preserve">18798702427</t>
  </si>
  <si>
    <r>
      <rPr>
        <sz val="10"/>
        <rFont val="Noto Sans CJK SC"/>
        <family val="2"/>
      </rPr>
      <t xml:space="preserve">贵州省安顺市西秀区北街街道虹山湖路</t>
    </r>
    <r>
      <rPr>
        <sz val="10"/>
        <rFont val="Arial"/>
        <family val="0"/>
        <charset val="1"/>
      </rPr>
      <t xml:space="preserve">42</t>
    </r>
    <r>
      <rPr>
        <sz val="10"/>
        <rFont val="Noto Sans CJK SC"/>
        <family val="2"/>
      </rPr>
      <t xml:space="preserve">号虹山大酒店</t>
    </r>
    <r>
      <rPr>
        <sz val="10"/>
        <rFont val="Arial"/>
        <family val="0"/>
        <charset val="1"/>
      </rPr>
      <t xml:space="preserve">12-10</t>
    </r>
    <r>
      <rPr>
        <sz val="10"/>
        <rFont val="Noto Sans CJK SC"/>
        <family val="2"/>
      </rPr>
      <t xml:space="preserve">号</t>
    </r>
  </si>
  <si>
    <t xml:space="preserve">6a1438fc91cd6f48ad74a2c9</t>
  </si>
  <si>
    <t xml:space="preserve">贵州灏鸿建筑工程有限公司</t>
  </si>
  <si>
    <t xml:space="preserve">罗金平</t>
  </si>
  <si>
    <t xml:space="preserve">18396932302</t>
  </si>
  <si>
    <r>
      <rPr>
        <sz val="10"/>
        <rFont val="Noto Sans CJK SC"/>
        <family val="2"/>
      </rPr>
      <t xml:space="preserve">贵州省毕节市七星关区麻园街道国贸大厦中心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楼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号写字楼</t>
    </r>
  </si>
  <si>
    <t xml:space="preserve">6a1438fc91cd6f48ad74a2c8</t>
  </si>
  <si>
    <t xml:space="preserve">贵州众普润建设有限公司</t>
  </si>
  <si>
    <t xml:space="preserve">李汝秋</t>
  </si>
  <si>
    <t xml:space="preserve">13985428007</t>
  </si>
  <si>
    <t xml:space="preserve">0851-84116002</t>
  </si>
  <si>
    <t xml:space="preserve">贵州省贵安新区马场镇下桥路</t>
  </si>
  <si>
    <t xml:space="preserve">中国 贵州 安顺市 平坝区</t>
  </si>
  <si>
    <r>
      <rPr>
        <sz val="10"/>
        <rFont val="Noto Sans CJK SC"/>
        <family val="2"/>
      </rPr>
      <t xml:space="preserve">李</t>
    </r>
    <r>
      <rPr>
        <sz val="10"/>
        <rFont val="Arial"/>
        <family val="0"/>
        <charset val="1"/>
      </rPr>
      <t xml:space="preserve">**</t>
    </r>
    <r>
      <rPr>
        <sz val="10"/>
        <rFont val="Noto Sans CJK SC"/>
        <family val="2"/>
      </rPr>
      <t xml:space="preserve">：</t>
    </r>
  </si>
  <si>
    <r>
      <rPr>
        <b val="true"/>
        <sz val="14"/>
        <color rgb="FF1F4E79"/>
        <rFont val="Noto Sans CJK SC"/>
        <family val="2"/>
      </rPr>
      <t xml:space="preserve">探迹</t>
    </r>
    <r>
      <rPr>
        <b val="true"/>
        <sz val="14"/>
        <color rgb="FF1F4E79"/>
        <rFont val="Arial"/>
        <family val="0"/>
        <charset val="1"/>
      </rPr>
      <t xml:space="preserve">CRM </t>
    </r>
    <r>
      <rPr>
        <b val="true"/>
        <sz val="14"/>
        <color rgb="FF1F4E79"/>
        <rFont val="Noto Sans CJK SC"/>
        <family val="2"/>
      </rPr>
      <t xml:space="preserve">我的客户 </t>
    </r>
    <r>
      <rPr>
        <b val="true"/>
        <sz val="14"/>
        <color rgb="FF1F4E79"/>
        <rFont val="Arial"/>
        <family val="0"/>
        <charset val="1"/>
      </rPr>
      <t xml:space="preserve">· </t>
    </r>
    <r>
      <rPr>
        <b val="true"/>
        <sz val="14"/>
        <color rgb="FF1F4E79"/>
        <rFont val="Noto Sans CJK SC"/>
        <family val="2"/>
      </rPr>
      <t xml:space="preserve">采集概览</t>
    </r>
  </si>
  <si>
    <t xml:space="preserve">指标</t>
  </si>
  <si>
    <t xml:space="preserve">数值</t>
  </si>
  <si>
    <t xml:space="preserve">说明</t>
  </si>
  <si>
    <t xml:space="preserve">采集条数</t>
  </si>
  <si>
    <t xml:space="preserve">手机号数量</t>
  </si>
  <si>
    <t xml:space="preserve">手机号覆盖率</t>
  </si>
  <si>
    <r>
      <rPr>
        <sz val="10"/>
        <rFont val="Arial"/>
        <family val="0"/>
        <charset val="1"/>
      </rPr>
      <t xml:space="preserve">Hot </t>
    </r>
    <r>
      <rPr>
        <sz val="10"/>
        <rFont val="Noto Sans CJK SC"/>
        <family val="2"/>
      </rPr>
      <t xml:space="preserve">解锁条数</t>
    </r>
  </si>
  <si>
    <r>
      <rPr>
        <sz val="9"/>
        <color rgb="FF6B7280"/>
        <rFont val="Noto Sans CJK SC"/>
        <family val="2"/>
      </rPr>
      <t xml:space="preserve">手机号非空条数 </t>
    </r>
    <r>
      <rPr>
        <sz val="9"/>
        <color rgb="FF6B7280"/>
        <rFont val="Arial"/>
        <family val="0"/>
        <charset val="1"/>
      </rPr>
      <t xml:space="preserve">/ </t>
    </r>
    <r>
      <rPr>
        <sz val="9"/>
        <color rgb="FF6B7280"/>
        <rFont val="Noto Sans CJK SC"/>
        <family val="2"/>
      </rPr>
      <t xml:space="preserve">采集条数</t>
    </r>
  </si>
  <si>
    <t xml:space="preserve">固定电话条数</t>
  </si>
  <si>
    <r>
      <rPr>
        <sz val="9"/>
        <color rgb="FF6B7280"/>
        <rFont val="Noto Sans CJK SC"/>
        <family val="2"/>
      </rPr>
      <t xml:space="preserve">带 </t>
    </r>
    <r>
      <rPr>
        <sz val="9"/>
        <color rgb="FF6B7280"/>
        <rFont val="Arial"/>
        <family val="0"/>
        <charset val="1"/>
      </rPr>
      <t xml:space="preserve">@@@ </t>
    </r>
    <r>
      <rPr>
        <sz val="9"/>
        <color rgb="FF6B7280"/>
        <rFont val="Noto Sans CJK SC"/>
        <family val="2"/>
      </rPr>
      <t xml:space="preserve">遮罩成功点开的条数</t>
    </r>
  </si>
  <si>
    <t xml:space="preserve">已采集页数</t>
  </si>
  <si>
    <r>
      <rPr>
        <sz val="9"/>
        <color rgb="FF6B7280"/>
        <rFont val="Noto Sans CJK SC"/>
        <family val="2"/>
      </rPr>
      <t xml:space="preserve">电话字段非</t>
    </r>
    <r>
      <rPr>
        <sz val="9"/>
        <color rgb="FF6B7280"/>
        <rFont val="Arial"/>
        <family val="0"/>
        <charset val="1"/>
      </rPr>
      <t xml:space="preserve">"--"</t>
    </r>
    <r>
      <rPr>
        <sz val="9"/>
        <color rgb="FF6B7280"/>
        <rFont val="Noto Sans CJK SC"/>
        <family val="2"/>
      </rPr>
      <t xml:space="preserve">的条数</t>
    </r>
  </si>
  <si>
    <t xml:space="preserve">字段口径</t>
  </si>
  <si>
    <r>
      <rPr>
        <b val="true"/>
        <sz val="10"/>
        <rFont val="Noto Sans CJK SC"/>
        <family val="2"/>
      </rPr>
      <t xml:space="preserve">客户</t>
    </r>
    <r>
      <rPr>
        <b val="true"/>
        <sz val="10"/>
        <rFont val="Arial"/>
        <family val="0"/>
        <charset val="1"/>
      </rPr>
      <t xml:space="preserve">ID</t>
    </r>
  </si>
  <si>
    <r>
      <rPr>
        <sz val="9"/>
        <color rgb="FF374151"/>
        <rFont val="Noto Sans CJK SC"/>
        <family val="2"/>
      </rPr>
      <t xml:space="preserve">列表行 </t>
    </r>
    <r>
      <rPr>
        <sz val="9"/>
        <color rgb="FF374151"/>
        <rFont val="Arial"/>
        <family val="0"/>
        <charset val="1"/>
      </rPr>
      <t xml:space="preserve">data-row-key</t>
    </r>
    <r>
      <rPr>
        <sz val="9"/>
        <color rgb="FF374151"/>
        <rFont val="Noto Sans CJK SC"/>
        <family val="2"/>
      </rPr>
      <t xml:space="preserve">，即客户唯一标识</t>
    </r>
  </si>
  <si>
    <t xml:space="preserve">详情抽屉「手机」字段，平台已解密展示</t>
  </si>
  <si>
    <r>
      <rPr>
        <b val="true"/>
        <sz val="10"/>
        <rFont val="Arial"/>
        <family val="0"/>
        <charset val="1"/>
      </rPr>
      <t xml:space="preserve">Hot</t>
    </r>
    <r>
      <rPr>
        <b val="true"/>
        <sz val="10"/>
        <rFont val="Noto Sans CJK SC"/>
        <family val="2"/>
      </rPr>
      <t xml:space="preserve">取号</t>
    </r>
  </si>
  <si>
    <r>
      <rPr>
        <sz val="9"/>
        <color rgb="FF374151"/>
        <rFont val="Noto Sans CJK SC"/>
        <family val="2"/>
      </rPr>
      <t xml:space="preserve">仅列表 </t>
    </r>
    <r>
      <rPr>
        <sz val="9"/>
        <color rgb="FF374151"/>
        <rFont val="Arial"/>
        <family val="0"/>
        <charset val="1"/>
      </rPr>
      <t xml:space="preserve">Hot </t>
    </r>
    <r>
      <rPr>
        <sz val="9"/>
        <color rgb="FF374151"/>
        <rFont val="Noto Sans CJK SC"/>
        <family val="2"/>
      </rPr>
      <t xml:space="preserve">单元格带 </t>
    </r>
    <r>
      <rPr>
        <sz val="9"/>
        <color rgb="FF374151"/>
        <rFont val="Arial"/>
        <family val="0"/>
        <charset val="1"/>
      </rPr>
      <t xml:space="preserve">@@@ </t>
    </r>
    <r>
      <rPr>
        <sz val="9"/>
        <color rgb="FF374151"/>
        <rFont val="Noto Sans CJK SC"/>
        <family val="2"/>
      </rPr>
      <t xml:space="preserve">遮罩时点开抽屉取得的完整号码</t>
    </r>
  </si>
  <si>
    <r>
      <rPr>
        <sz val="9"/>
        <color rgb="FF374151"/>
        <rFont val="Noto Sans CJK SC"/>
        <family val="2"/>
      </rPr>
      <t xml:space="preserve">详情抽屉「电话」字段（多为 </t>
    </r>
    <r>
      <rPr>
        <sz val="9"/>
        <color rgb="FF374151"/>
        <rFont val="Arial"/>
        <family val="0"/>
        <charset val="1"/>
      </rPr>
      <t xml:space="preserve">"--"</t>
    </r>
    <r>
      <rPr>
        <sz val="9"/>
        <color rgb="FF374151"/>
        <rFont val="Noto Sans CJK SC"/>
        <family val="2"/>
      </rPr>
      <t xml:space="preserve">，少数为固话）</t>
    </r>
  </si>
  <si>
    <r>
      <rPr>
        <b val="true"/>
        <sz val="10"/>
        <rFont val="Arial"/>
        <family val="0"/>
        <charset val="1"/>
      </rPr>
      <t xml:space="preserve">Hot</t>
    </r>
    <r>
      <rPr>
        <b val="true"/>
        <sz val="10"/>
        <rFont val="Noto Sans CJK SC"/>
        <family val="2"/>
      </rPr>
      <t xml:space="preserve">联系方式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打码</t>
    </r>
    <r>
      <rPr>
        <b val="true"/>
        <sz val="10"/>
        <rFont val="Arial"/>
        <family val="0"/>
        <charset val="1"/>
      </rPr>
      <t xml:space="preserve">)</t>
    </r>
  </si>
  <si>
    <t xml:space="preserve">列表原样文本，未做加工</t>
  </si>
  <si>
    <t xml:space="preserve">数据缺失原因说明，便于后续复核</t>
  </si>
  <si>
    <r>
      <rPr>
        <i val="true"/>
        <sz val="9"/>
        <color rgb="FF6B7280"/>
        <rFont val="Noto Sans CJK SC"/>
        <family val="2"/>
      </rPr>
      <t xml:space="preserve">采集方式：页面逐条点击「查看」读取右侧抽屉，未调用任何数据接口；每页 </t>
    </r>
    <r>
      <rPr>
        <i val="true"/>
        <sz val="9"/>
        <color rgb="FF6B7280"/>
        <rFont val="Arial"/>
        <family val="0"/>
        <charset val="1"/>
      </rPr>
      <t xml:space="preserve">10 </t>
    </r>
    <r>
      <rPr>
        <i val="true"/>
        <sz val="9"/>
        <color rgb="FF6B7280"/>
        <rFont val="Noto Sans CJK SC"/>
        <family val="2"/>
      </rPr>
      <t xml:space="preserve">条。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</si>
</sst>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4"/>
      <color rgb="FF1F4E79"/>
      <name val="Noto Sans CJK SC"/>
      <family val="2"/>
    </font>
    <font>
      <b val="true"/>
      <sz val="14"/>
      <color rgb="FF1F4E79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9"/>
      <color rgb="FF6B7280"/>
      <name val="Arial"/>
      <family val="0"/>
      <charset val="1"/>
    </font>
    <font>
      <sz val="9"/>
      <color rgb="FF6B7280"/>
      <name val="Noto Sans CJK SC"/>
      <family val="2"/>
    </font>
    <font>
      <b val="true"/>
      <sz val="11"/>
      <color rgb="FF1F4E79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9"/>
      <color rgb="FF374151"/>
      <name val="Noto Sans CJK SC"/>
      <family val="2"/>
    </font>
    <font>
      <sz val="9"/>
      <color rgb="FF374151"/>
      <name val="Arial"/>
      <family val="0"/>
      <charset val="1"/>
    </font>
    <font>
      <i val="true"/>
      <sz val="9"/>
      <color rgb="FF6B7280"/>
      <name val="Noto Sans CJK SC"/>
      <family val="2"/>
    </font>
    <font>
      <i val="true"/>
      <sz val="9"/>
      <color rgb="FF6B72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374151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9FC"/>
      <rgbColor rgb="FFCCFFFF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74151"/>
      <rgbColor rgb="FF993300"/>
      <rgbColor rgb="FF993366"/>
      <rgbColor rgb="FF1F4E7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26"/>
    <col collapsed="false" customWidth="true" hidden="false" outlineLevel="0" max="5" min="4" style="0" width="32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55"/>
    <col collapsed="false" customWidth="true" hidden="false" outlineLevel="0" max="12" min="12" style="0" width="30"/>
    <col collapsed="false" customWidth="true" hidden="false" outlineLevel="0" max="13" min="13" style="0" width="19"/>
    <col collapsed="false" customWidth="true" hidden="false" outlineLevel="0" max="14" min="14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customFormat="false" ht="15" hidden="false" customHeight="false" outlineLevel="0" collapsed="false">
      <c r="A2" s="3" t="n">
        <v>1</v>
      </c>
      <c r="B2" s="3" t="n">
        <v>1</v>
      </c>
      <c r="C2" s="3" t="s">
        <v>14</v>
      </c>
      <c r="D2" s="4" t="s">
        <v>15</v>
      </c>
      <c r="E2" s="5" t="s">
        <v>15</v>
      </c>
      <c r="F2" s="4" t="s">
        <v>16</v>
      </c>
      <c r="G2" s="4" t="s">
        <v>17</v>
      </c>
      <c r="H2" s="3" t="s">
        <v>18</v>
      </c>
      <c r="I2" s="3" t="s">
        <v>18</v>
      </c>
      <c r="J2" s="3" t="s">
        <v>19</v>
      </c>
      <c r="K2" s="5" t="s">
        <v>20</v>
      </c>
      <c r="L2" s="4" t="s">
        <v>21</v>
      </c>
      <c r="M2" s="5" t="s">
        <v>22</v>
      </c>
      <c r="N2" s="6" t="s">
        <v>23</v>
      </c>
    </row>
    <row r="3" customFormat="false" ht="15" hidden="false" customHeight="false" outlineLevel="0" collapsed="false">
      <c r="A3" s="7" t="n">
        <v>2</v>
      </c>
      <c r="B3" s="7" t="n">
        <v>1</v>
      </c>
      <c r="C3" s="7" t="s">
        <v>24</v>
      </c>
      <c r="D3" s="8" t="s">
        <v>25</v>
      </c>
      <c r="E3" s="9" t="s">
        <v>25</v>
      </c>
      <c r="F3" s="8" t="s">
        <v>26</v>
      </c>
      <c r="G3" s="8" t="s">
        <v>17</v>
      </c>
      <c r="H3" s="7" t="s">
        <v>27</v>
      </c>
      <c r="I3" s="7" t="s">
        <v>27</v>
      </c>
      <c r="J3" s="7" t="s">
        <v>19</v>
      </c>
      <c r="K3" s="9" t="s">
        <v>28</v>
      </c>
      <c r="L3" s="8" t="s">
        <v>29</v>
      </c>
      <c r="M3" s="9" t="s">
        <v>30</v>
      </c>
      <c r="N3" s="10" t="s">
        <v>23</v>
      </c>
    </row>
    <row r="4" customFormat="false" ht="29.85" hidden="false" customHeight="false" outlineLevel="0" collapsed="false">
      <c r="A4" s="3" t="n">
        <v>3</v>
      </c>
      <c r="B4" s="3" t="n">
        <v>1</v>
      </c>
      <c r="C4" s="3" t="s">
        <v>31</v>
      </c>
      <c r="D4" s="4" t="s">
        <v>32</v>
      </c>
      <c r="E4" s="5" t="s">
        <v>32</v>
      </c>
      <c r="F4" s="4" t="s">
        <v>33</v>
      </c>
      <c r="G4" s="4" t="s">
        <v>17</v>
      </c>
      <c r="H4" s="3" t="s">
        <v>34</v>
      </c>
      <c r="I4" s="3"/>
      <c r="J4" s="3" t="s">
        <v>19</v>
      </c>
      <c r="K4" s="5" t="s">
        <v>35</v>
      </c>
      <c r="L4" s="4" t="s">
        <v>36</v>
      </c>
      <c r="M4" s="5" t="s">
        <v>37</v>
      </c>
      <c r="N4" s="6" t="s">
        <v>38</v>
      </c>
    </row>
    <row r="5" customFormat="false" ht="15" hidden="false" customHeight="false" outlineLevel="0" collapsed="false">
      <c r="A5" s="7" t="n">
        <v>4</v>
      </c>
      <c r="B5" s="7" t="n">
        <v>1</v>
      </c>
      <c r="C5" s="7" t="s">
        <v>39</v>
      </c>
      <c r="D5" s="8" t="s">
        <v>40</v>
      </c>
      <c r="E5" s="9" t="s">
        <v>40</v>
      </c>
      <c r="F5" s="8" t="s">
        <v>41</v>
      </c>
      <c r="G5" s="8" t="s">
        <v>17</v>
      </c>
      <c r="H5" s="7" t="s">
        <v>42</v>
      </c>
      <c r="I5" s="7"/>
      <c r="J5" s="7" t="s">
        <v>19</v>
      </c>
      <c r="K5" s="9" t="s">
        <v>43</v>
      </c>
      <c r="L5" s="8" t="s">
        <v>44</v>
      </c>
      <c r="M5" s="10" t="s">
        <v>19</v>
      </c>
      <c r="N5" s="9" t="s">
        <v>45</v>
      </c>
    </row>
    <row r="6" customFormat="false" ht="29.85" hidden="false" customHeight="false" outlineLevel="0" collapsed="false">
      <c r="A6" s="3" t="n">
        <v>5</v>
      </c>
      <c r="B6" s="3" t="n">
        <v>1</v>
      </c>
      <c r="C6" s="3" t="s">
        <v>46</v>
      </c>
      <c r="D6" s="4" t="s">
        <v>47</v>
      </c>
      <c r="E6" s="5" t="s">
        <v>47</v>
      </c>
      <c r="F6" s="4" t="s">
        <v>48</v>
      </c>
      <c r="G6" s="4" t="s">
        <v>17</v>
      </c>
      <c r="H6" s="3" t="s">
        <v>49</v>
      </c>
      <c r="I6" s="3"/>
      <c r="J6" s="3" t="s">
        <v>19</v>
      </c>
      <c r="K6" s="5" t="s">
        <v>50</v>
      </c>
      <c r="L6" s="4" t="s">
        <v>51</v>
      </c>
      <c r="M6" s="5" t="s">
        <v>52</v>
      </c>
      <c r="N6" s="6" t="s">
        <v>38</v>
      </c>
    </row>
    <row r="7" customFormat="false" ht="15" hidden="false" customHeight="false" outlineLevel="0" collapsed="false">
      <c r="A7" s="7" t="n">
        <v>6</v>
      </c>
      <c r="B7" s="7" t="n">
        <v>1</v>
      </c>
      <c r="C7" s="7" t="s">
        <v>53</v>
      </c>
      <c r="D7" s="8" t="s">
        <v>54</v>
      </c>
      <c r="E7" s="9" t="s">
        <v>54</v>
      </c>
      <c r="F7" s="8" t="s">
        <v>55</v>
      </c>
      <c r="G7" s="8" t="s">
        <v>17</v>
      </c>
      <c r="H7" s="7" t="s">
        <v>56</v>
      </c>
      <c r="I7" s="7"/>
      <c r="J7" s="7" t="s">
        <v>19</v>
      </c>
      <c r="K7" s="9" t="s">
        <v>57</v>
      </c>
      <c r="L7" s="8" t="s">
        <v>58</v>
      </c>
      <c r="M7" s="10" t="s">
        <v>19</v>
      </c>
      <c r="N7" s="9" t="s">
        <v>45</v>
      </c>
    </row>
    <row r="8" customFormat="false" ht="15" hidden="false" customHeight="false" outlineLevel="0" collapsed="false">
      <c r="A8" s="3" t="n">
        <v>7</v>
      </c>
      <c r="B8" s="3" t="n">
        <v>1</v>
      </c>
      <c r="C8" s="3" t="s">
        <v>59</v>
      </c>
      <c r="D8" s="4" t="s">
        <v>60</v>
      </c>
      <c r="E8" s="5" t="s">
        <v>60</v>
      </c>
      <c r="F8" s="4" t="s">
        <v>61</v>
      </c>
      <c r="G8" s="4" t="s">
        <v>17</v>
      </c>
      <c r="H8" s="3" t="s">
        <v>62</v>
      </c>
      <c r="I8" s="3"/>
      <c r="J8" s="3" t="s">
        <v>19</v>
      </c>
      <c r="K8" s="5" t="s">
        <v>63</v>
      </c>
      <c r="L8" s="4" t="s">
        <v>64</v>
      </c>
      <c r="M8" s="6" t="s">
        <v>19</v>
      </c>
      <c r="N8" s="5" t="s">
        <v>45</v>
      </c>
    </row>
    <row r="9" customFormat="false" ht="15" hidden="false" customHeight="false" outlineLevel="0" collapsed="false">
      <c r="A9" s="7" t="n">
        <v>8</v>
      </c>
      <c r="B9" s="7" t="n">
        <v>1</v>
      </c>
      <c r="C9" s="7" t="s">
        <v>65</v>
      </c>
      <c r="D9" s="8" t="s">
        <v>66</v>
      </c>
      <c r="E9" s="9" t="s">
        <v>66</v>
      </c>
      <c r="F9" s="8" t="s">
        <v>67</v>
      </c>
      <c r="G9" s="8" t="s">
        <v>17</v>
      </c>
      <c r="H9" s="7" t="s">
        <v>68</v>
      </c>
      <c r="I9" s="7"/>
      <c r="J9" s="7" t="s">
        <v>19</v>
      </c>
      <c r="K9" s="9" t="s">
        <v>69</v>
      </c>
      <c r="L9" s="8" t="s">
        <v>70</v>
      </c>
      <c r="M9" s="10" t="s">
        <v>19</v>
      </c>
      <c r="N9" s="9" t="s">
        <v>45</v>
      </c>
    </row>
    <row r="10" customFormat="false" ht="29.85" hidden="false" customHeight="false" outlineLevel="0" collapsed="false">
      <c r="A10" s="3" t="n">
        <v>9</v>
      </c>
      <c r="B10" s="3" t="n">
        <v>1</v>
      </c>
      <c r="C10" s="3" t="s">
        <v>71</v>
      </c>
      <c r="D10" s="4" t="s">
        <v>72</v>
      </c>
      <c r="E10" s="5" t="s">
        <v>72</v>
      </c>
      <c r="F10" s="4" t="s">
        <v>73</v>
      </c>
      <c r="G10" s="4" t="s">
        <v>17</v>
      </c>
      <c r="H10" s="3" t="s">
        <v>74</v>
      </c>
      <c r="I10" s="3"/>
      <c r="J10" s="3" t="s">
        <v>19</v>
      </c>
      <c r="K10" s="5" t="s">
        <v>75</v>
      </c>
      <c r="L10" s="4" t="s">
        <v>76</v>
      </c>
      <c r="M10" s="5" t="s">
        <v>77</v>
      </c>
      <c r="N10" s="6" t="s">
        <v>38</v>
      </c>
    </row>
    <row r="11" customFormat="false" ht="15" hidden="false" customHeight="false" outlineLevel="0" collapsed="false">
      <c r="A11" s="7" t="n">
        <v>10</v>
      </c>
      <c r="B11" s="7" t="n">
        <v>1</v>
      </c>
      <c r="C11" s="7" t="s">
        <v>78</v>
      </c>
      <c r="D11" s="8" t="s">
        <v>79</v>
      </c>
      <c r="E11" s="9" t="s">
        <v>79</v>
      </c>
      <c r="F11" s="8" t="s">
        <v>80</v>
      </c>
      <c r="G11" s="8" t="s">
        <v>17</v>
      </c>
      <c r="H11" s="7" t="s">
        <v>81</v>
      </c>
      <c r="I11" s="7" t="s">
        <v>82</v>
      </c>
      <c r="J11" s="7" t="s">
        <v>19</v>
      </c>
      <c r="K11" s="9" t="s">
        <v>83</v>
      </c>
      <c r="L11" s="8" t="s">
        <v>84</v>
      </c>
      <c r="M11" s="9" t="s">
        <v>85</v>
      </c>
      <c r="N11" s="10" t="s">
        <v>23</v>
      </c>
    </row>
    <row r="12" customFormat="false" ht="15" hidden="false" customHeight="false" outlineLevel="0" collapsed="false">
      <c r="A12" s="3" t="n">
        <v>11</v>
      </c>
      <c r="B12" s="3" t="n">
        <v>2</v>
      </c>
      <c r="C12" s="3" t="s">
        <v>86</v>
      </c>
      <c r="D12" s="4" t="s">
        <v>87</v>
      </c>
      <c r="E12" s="5" t="s">
        <v>87</v>
      </c>
      <c r="F12" s="4" t="s">
        <v>88</v>
      </c>
      <c r="G12" s="4" t="s">
        <v>17</v>
      </c>
      <c r="H12" s="3" t="s">
        <v>89</v>
      </c>
      <c r="I12" s="3"/>
      <c r="J12" s="3" t="s">
        <v>19</v>
      </c>
      <c r="K12" s="5" t="s">
        <v>90</v>
      </c>
      <c r="L12" s="4" t="s">
        <v>91</v>
      </c>
      <c r="M12" s="6" t="s">
        <v>19</v>
      </c>
      <c r="N12" s="5" t="s">
        <v>45</v>
      </c>
    </row>
    <row r="13" customFormat="false" ht="15" hidden="false" customHeight="false" outlineLevel="0" collapsed="false">
      <c r="A13" s="7" t="n">
        <v>12</v>
      </c>
      <c r="B13" s="7" t="n">
        <v>2</v>
      </c>
      <c r="C13" s="7" t="s">
        <v>92</v>
      </c>
      <c r="D13" s="8" t="s">
        <v>93</v>
      </c>
      <c r="E13" s="9" t="s">
        <v>93</v>
      </c>
      <c r="F13" s="8" t="s">
        <v>94</v>
      </c>
      <c r="G13" s="8" t="s">
        <v>17</v>
      </c>
      <c r="H13" s="7" t="s">
        <v>95</v>
      </c>
      <c r="I13" s="7"/>
      <c r="J13" s="7" t="s">
        <v>19</v>
      </c>
      <c r="K13" s="9" t="s">
        <v>96</v>
      </c>
      <c r="L13" s="8" t="s">
        <v>97</v>
      </c>
      <c r="M13" s="10" t="s">
        <v>19</v>
      </c>
      <c r="N13" s="9" t="s">
        <v>45</v>
      </c>
    </row>
    <row r="14" customFormat="false" ht="15" hidden="false" customHeight="false" outlineLevel="0" collapsed="false">
      <c r="A14" s="3" t="n">
        <v>13</v>
      </c>
      <c r="B14" s="3" t="n">
        <v>2</v>
      </c>
      <c r="C14" s="3" t="s">
        <v>98</v>
      </c>
      <c r="D14" s="4" t="s">
        <v>99</v>
      </c>
      <c r="E14" s="5" t="s">
        <v>99</v>
      </c>
      <c r="F14" s="4" t="s">
        <v>100</v>
      </c>
      <c r="G14" s="4" t="s">
        <v>17</v>
      </c>
      <c r="H14" s="3" t="s">
        <v>101</v>
      </c>
      <c r="I14" s="3"/>
      <c r="J14" s="3" t="s">
        <v>19</v>
      </c>
      <c r="K14" s="5" t="s">
        <v>102</v>
      </c>
      <c r="L14" s="4" t="s">
        <v>103</v>
      </c>
      <c r="M14" s="6" t="s">
        <v>19</v>
      </c>
      <c r="N14" s="5" t="s">
        <v>45</v>
      </c>
    </row>
    <row r="15" customFormat="false" ht="29.85" hidden="false" customHeight="false" outlineLevel="0" collapsed="false">
      <c r="A15" s="7" t="n">
        <v>14</v>
      </c>
      <c r="B15" s="7" t="n">
        <v>2</v>
      </c>
      <c r="C15" s="7" t="s">
        <v>104</v>
      </c>
      <c r="D15" s="8" t="s">
        <v>105</v>
      </c>
      <c r="E15" s="9" t="s">
        <v>105</v>
      </c>
      <c r="F15" s="8" t="s">
        <v>106</v>
      </c>
      <c r="G15" s="8" t="s">
        <v>17</v>
      </c>
      <c r="H15" s="7" t="s">
        <v>107</v>
      </c>
      <c r="I15" s="7"/>
      <c r="J15" s="7" t="s">
        <v>19</v>
      </c>
      <c r="K15" s="9" t="s">
        <v>108</v>
      </c>
      <c r="L15" s="8" t="s">
        <v>109</v>
      </c>
      <c r="M15" s="9" t="s">
        <v>110</v>
      </c>
      <c r="N15" s="10" t="s">
        <v>38</v>
      </c>
    </row>
    <row r="16" customFormat="false" ht="29.85" hidden="false" customHeight="false" outlineLevel="0" collapsed="false">
      <c r="A16" s="3" t="n">
        <v>15</v>
      </c>
      <c r="B16" s="3" t="n">
        <v>2</v>
      </c>
      <c r="C16" s="3" t="s">
        <v>111</v>
      </c>
      <c r="D16" s="4" t="s">
        <v>112</v>
      </c>
      <c r="E16" s="5" t="s">
        <v>112</v>
      </c>
      <c r="F16" s="4" t="s">
        <v>113</v>
      </c>
      <c r="G16" s="4" t="s">
        <v>17</v>
      </c>
      <c r="H16" s="3" t="s">
        <v>114</v>
      </c>
      <c r="I16" s="3"/>
      <c r="J16" s="3" t="s">
        <v>115</v>
      </c>
      <c r="K16" s="5" t="s">
        <v>116</v>
      </c>
      <c r="L16" s="4" t="s">
        <v>36</v>
      </c>
      <c r="M16" s="5" t="s">
        <v>117</v>
      </c>
      <c r="N16" s="6" t="s">
        <v>118</v>
      </c>
    </row>
    <row r="17" customFormat="false" ht="15" hidden="false" customHeight="false" outlineLevel="0" collapsed="false">
      <c r="A17" s="7" t="n">
        <v>16</v>
      </c>
      <c r="B17" s="7" t="n">
        <v>2</v>
      </c>
      <c r="C17" s="7" t="s">
        <v>119</v>
      </c>
      <c r="D17" s="8" t="s">
        <v>120</v>
      </c>
      <c r="E17" s="9" t="s">
        <v>120</v>
      </c>
      <c r="F17" s="8" t="s">
        <v>121</v>
      </c>
      <c r="G17" s="8" t="s">
        <v>17</v>
      </c>
      <c r="H17" s="7" t="s">
        <v>122</v>
      </c>
      <c r="I17" s="7"/>
      <c r="J17" s="7" t="s">
        <v>19</v>
      </c>
      <c r="K17" s="9" t="s">
        <v>123</v>
      </c>
      <c r="L17" s="8" t="s">
        <v>124</v>
      </c>
      <c r="M17" s="10" t="s">
        <v>19</v>
      </c>
      <c r="N17" s="9" t="s">
        <v>45</v>
      </c>
    </row>
    <row r="18" customFormat="false" ht="15" hidden="false" customHeight="false" outlineLevel="0" collapsed="false">
      <c r="A18" s="3" t="n">
        <v>17</v>
      </c>
      <c r="B18" s="3" t="n">
        <v>2</v>
      </c>
      <c r="C18" s="3" t="s">
        <v>125</v>
      </c>
      <c r="D18" s="4" t="s">
        <v>126</v>
      </c>
      <c r="E18" s="5" t="s">
        <v>126</v>
      </c>
      <c r="F18" s="4" t="s">
        <v>127</v>
      </c>
      <c r="G18" s="4" t="s">
        <v>17</v>
      </c>
      <c r="H18" s="3" t="s">
        <v>128</v>
      </c>
      <c r="I18" s="3"/>
      <c r="J18" s="3" t="s">
        <v>19</v>
      </c>
      <c r="K18" s="5" t="s">
        <v>129</v>
      </c>
      <c r="L18" s="4" t="s">
        <v>44</v>
      </c>
      <c r="M18" s="6" t="s">
        <v>19</v>
      </c>
      <c r="N18" s="5" t="s">
        <v>45</v>
      </c>
    </row>
    <row r="19" customFormat="false" ht="15" hidden="false" customHeight="false" outlineLevel="0" collapsed="false">
      <c r="A19" s="7" t="n">
        <v>18</v>
      </c>
      <c r="B19" s="7" t="n">
        <v>2</v>
      </c>
      <c r="C19" s="7" t="s">
        <v>130</v>
      </c>
      <c r="D19" s="8" t="s">
        <v>131</v>
      </c>
      <c r="E19" s="9" t="s">
        <v>131</v>
      </c>
      <c r="F19" s="8" t="s">
        <v>132</v>
      </c>
      <c r="G19" s="8" t="s">
        <v>17</v>
      </c>
      <c r="H19" s="7" t="s">
        <v>133</v>
      </c>
      <c r="I19" s="7"/>
      <c r="J19" s="7" t="s">
        <v>19</v>
      </c>
      <c r="K19" s="9" t="s">
        <v>134</v>
      </c>
      <c r="L19" s="8" t="s">
        <v>109</v>
      </c>
      <c r="M19" s="10" t="s">
        <v>19</v>
      </c>
      <c r="N19" s="9" t="s">
        <v>45</v>
      </c>
    </row>
    <row r="20" customFormat="false" ht="15" hidden="false" customHeight="false" outlineLevel="0" collapsed="false">
      <c r="A20" s="3" t="n">
        <v>19</v>
      </c>
      <c r="B20" s="3" t="n">
        <v>2</v>
      </c>
      <c r="C20" s="3" t="s">
        <v>135</v>
      </c>
      <c r="D20" s="4" t="s">
        <v>136</v>
      </c>
      <c r="E20" s="5" t="s">
        <v>136</v>
      </c>
      <c r="F20" s="4" t="s">
        <v>137</v>
      </c>
      <c r="G20" s="4" t="s">
        <v>17</v>
      </c>
      <c r="H20" s="3" t="s">
        <v>138</v>
      </c>
      <c r="I20" s="3"/>
      <c r="J20" s="3" t="s">
        <v>19</v>
      </c>
      <c r="K20" s="5" t="s">
        <v>139</v>
      </c>
      <c r="L20" s="4" t="s">
        <v>103</v>
      </c>
      <c r="M20" s="6" t="s">
        <v>19</v>
      </c>
      <c r="N20" s="5" t="s">
        <v>45</v>
      </c>
    </row>
    <row r="21" customFormat="false" ht="15" hidden="false" customHeight="false" outlineLevel="0" collapsed="false">
      <c r="A21" s="7" t="n">
        <v>20</v>
      </c>
      <c r="B21" s="7" t="n">
        <v>2</v>
      </c>
      <c r="C21" s="7" t="s">
        <v>140</v>
      </c>
      <c r="D21" s="8" t="s">
        <v>141</v>
      </c>
      <c r="E21" s="9" t="s">
        <v>141</v>
      </c>
      <c r="F21" s="8" t="s">
        <v>142</v>
      </c>
      <c r="G21" s="8" t="s">
        <v>17</v>
      </c>
      <c r="H21" s="7" t="s">
        <v>143</v>
      </c>
      <c r="I21" s="7"/>
      <c r="J21" s="7" t="s">
        <v>144</v>
      </c>
      <c r="K21" s="9" t="s">
        <v>145</v>
      </c>
      <c r="L21" s="8" t="s">
        <v>146</v>
      </c>
      <c r="M21" s="9" t="s">
        <v>147</v>
      </c>
      <c r="N21" s="10" t="s">
        <v>118</v>
      </c>
    </row>
  </sheetData>
  <autoFilter ref="A1:N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6"/>
    <col collapsed="false" customWidth="true" hidden="false" outlineLevel="0" max="3" min="3" style="0" width="30"/>
  </cols>
  <sheetData>
    <row r="1" customFormat="false" ht="21.6" hidden="false" customHeight="false" outlineLevel="0" collapsed="false">
      <c r="A1" s="11" t="s">
        <v>148</v>
      </c>
      <c r="B1" s="11"/>
      <c r="C1" s="11"/>
    </row>
    <row r="2" customFormat="false" ht="15" hidden="false" customHeight="false" outlineLevel="0" collapsed="false">
      <c r="A2" s="12" t="s">
        <v>149</v>
      </c>
      <c r="B2" s="12" t="s">
        <v>150</v>
      </c>
      <c r="C2" s="12" t="s">
        <v>151</v>
      </c>
    </row>
    <row r="3" customFormat="false" ht="15" hidden="false" customHeight="false" outlineLevel="0" collapsed="false">
      <c r="A3" s="13" t="s">
        <v>152</v>
      </c>
      <c r="B3" s="14" t="n">
        <f aca="false">COUNTA(客户数据!C2:C101)</f>
        <v>20</v>
      </c>
      <c r="C3" s="15"/>
    </row>
    <row r="4" customFormat="false" ht="15" hidden="false" customHeight="false" outlineLevel="0" collapsed="false">
      <c r="A4" s="16" t="s">
        <v>153</v>
      </c>
      <c r="B4" s="17" t="n">
        <f aca="false">COUNTA(客户数据!H2:H101)-COUNTIF(客户数据!H2:H101,"--")</f>
        <v>20</v>
      </c>
      <c r="C4" s="18"/>
    </row>
    <row r="5" customFormat="false" ht="15" hidden="false" customHeight="false" outlineLevel="0" collapsed="false">
      <c r="A5" s="13" t="s">
        <v>154</v>
      </c>
      <c r="B5" s="19" t="n">
        <f aca="false">B4/B3</f>
        <v>1</v>
      </c>
      <c r="C5" s="15"/>
    </row>
    <row r="6" customFormat="false" ht="15" hidden="false" customHeight="false" outlineLevel="0" collapsed="false">
      <c r="A6" s="20" t="s">
        <v>155</v>
      </c>
      <c r="B6" s="17" t="n">
        <f aca="false">COUNTA(客户数据!I2:I101)</f>
        <v>3</v>
      </c>
      <c r="C6" s="21" t="s">
        <v>156</v>
      </c>
    </row>
    <row r="7" customFormat="false" ht="15" hidden="false" customHeight="false" outlineLevel="0" collapsed="false">
      <c r="A7" s="13" t="s">
        <v>157</v>
      </c>
      <c r="B7" s="14" t="n">
        <f aca="false">COUNTA(客户数据!J2:J101)-COUNTIF(客户数据!J2:J101,"--")</f>
        <v>2</v>
      </c>
      <c r="C7" s="22" t="s">
        <v>158</v>
      </c>
    </row>
    <row r="8" customFormat="false" ht="15" hidden="false" customHeight="false" outlineLevel="0" collapsed="false">
      <c r="A8" s="16" t="s">
        <v>159</v>
      </c>
      <c r="B8" s="17" t="n">
        <f aca="false">MAX(客户数据!B2:B101)</f>
        <v>2</v>
      </c>
      <c r="C8" s="21" t="s">
        <v>160</v>
      </c>
    </row>
    <row r="10" customFormat="false" ht="15" hidden="false" customHeight="false" outlineLevel="0" collapsed="false">
      <c r="A10" s="23" t="s">
        <v>161</v>
      </c>
    </row>
    <row r="11" customFormat="false" ht="15" hidden="false" customHeight="false" outlineLevel="0" collapsed="false">
      <c r="A11" s="24" t="s">
        <v>162</v>
      </c>
      <c r="B11" s="25" t="s">
        <v>163</v>
      </c>
      <c r="C11" s="25"/>
    </row>
    <row r="12" customFormat="false" ht="15" hidden="false" customHeight="false" outlineLevel="0" collapsed="false">
      <c r="A12" s="24" t="s">
        <v>7</v>
      </c>
      <c r="B12" s="25" t="s">
        <v>164</v>
      </c>
      <c r="C12" s="25"/>
    </row>
    <row r="13" customFormat="false" ht="15" hidden="false" customHeight="false" outlineLevel="0" collapsed="false">
      <c r="A13" s="26" t="s">
        <v>165</v>
      </c>
      <c r="B13" s="25" t="s">
        <v>166</v>
      </c>
      <c r="C13" s="25"/>
    </row>
    <row r="14" customFormat="false" ht="15" hidden="false" customHeight="false" outlineLevel="0" collapsed="false">
      <c r="A14" s="24" t="s">
        <v>9</v>
      </c>
      <c r="B14" s="25" t="s">
        <v>167</v>
      </c>
      <c r="C14" s="25"/>
    </row>
    <row r="15" customFormat="false" ht="15" hidden="false" customHeight="false" outlineLevel="0" collapsed="false">
      <c r="A15" s="26" t="s">
        <v>168</v>
      </c>
      <c r="B15" s="25" t="s">
        <v>169</v>
      </c>
      <c r="C15" s="25"/>
    </row>
    <row r="16" customFormat="false" ht="15" hidden="false" customHeight="false" outlineLevel="0" collapsed="false">
      <c r="A16" s="24" t="s">
        <v>13</v>
      </c>
      <c r="B16" s="25" t="s">
        <v>170</v>
      </c>
      <c r="C16" s="25"/>
    </row>
    <row r="19" customFormat="false" ht="15" hidden="false" customHeight="false" outlineLevel="0" collapsed="false">
      <c r="A19" s="27" t="s">
        <v>171</v>
      </c>
    </row>
  </sheetData>
  <mergeCells count="7">
    <mergeCell ref="A1:C1"/>
    <mergeCell ref="B11:C11"/>
    <mergeCell ref="B12:C12"/>
    <mergeCell ref="B13:C13"/>
    <mergeCell ref="B14:C14"/>
    <mergeCell ref="B15:C15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2026-10-20T00:21:10Z</dcterms:created>
  <dc:creator>openpyxl</dc:creator>
  <dc:description/>
  <dc:language>en-US</dc:language>
  <cp:lastModifiedBy/>
  <dcterms:modified xsi:type="dcterms:W3CDTF">2026-10-20T00:21:10Z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